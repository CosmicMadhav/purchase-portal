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M:\Documents\Madhav Projects\Precision Farming\Purchase Portal\doc_templates\"/>
    </mc:Choice>
  </mc:AlternateContent>
  <xr:revisionPtr revIDLastSave="0" documentId="13_ncr:1_{E7285677-BDC4-4425-92CF-27F037CF6E03}" xr6:coauthVersionLast="47" xr6:coauthVersionMax="47" xr10:uidLastSave="{00000000-0000-0000-0000-000000000000}"/>
  <bookViews>
    <workbookView xWindow="6525" yWindow="4185" windowWidth="21600" windowHeight="11295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AYUS78aoq5u2AnQx1jtlohiDQNwpRVO0m2fr0o6SofU="/>
    </ext>
  </extLst>
</workbook>
</file>

<file path=xl/calcChain.xml><?xml version="1.0" encoding="utf-8"?>
<calcChain xmlns="http://schemas.openxmlformats.org/spreadsheetml/2006/main">
  <c r="H44" i="1" l="1"/>
  <c r="H6" i="1"/>
  <c r="G13" i="1" s="1"/>
</calcChain>
</file>

<file path=xl/sharedStrings.xml><?xml version="1.0" encoding="utf-8"?>
<sst xmlns="http://schemas.openxmlformats.org/spreadsheetml/2006/main" count="60" uniqueCount="58">
  <si>
    <t>NIRMA UNIVERSITY</t>
  </si>
  <si>
    <t>INSTITUTE OF TECHNOLOGY</t>
  </si>
  <si>
    <t>INSTITUTE OF DIPLOMA STUDIES</t>
  </si>
  <si>
    <t>INSTITUTE OF MANAGEMENT</t>
  </si>
  <si>
    <t>INSTITUTE OF PHARMACY</t>
  </si>
  <si>
    <t>VOUCHER FOR ADVANCE</t>
  </si>
  <si>
    <t>Date:</t>
  </si>
  <si>
    <t xml:space="preserve">Please Pay to Shri                                                                                          </t>
  </si>
  <si>
    <t>Contact No.</t>
  </si>
  <si>
    <t>of</t>
  </si>
  <si>
    <t xml:space="preserve">Dept.                                                </t>
  </si>
  <si>
    <t>EC,ITNU</t>
  </si>
  <si>
    <t>Advance of Rs.</t>
  </si>
  <si>
    <t>(Rs.</t>
  </si>
  <si>
    <t>twenty thousands only</t>
  </si>
  <si>
    <t>)</t>
  </si>
  <si>
    <t>Purpose of Advance</t>
  </si>
  <si>
    <t>KISAN KAWACH ( CSR Grant from Infineon Technologies )</t>
  </si>
  <si>
    <t>Approxi. date upto which the Voucher/Details of Expenditure will be submitted against.</t>
  </si>
  <si>
    <r>
      <rPr>
        <sz val="10"/>
        <color theme="1"/>
        <rFont val="Arial"/>
      </rPr>
      <t xml:space="preserve">Whether any previous Advance is outstanding </t>
    </r>
    <r>
      <rPr>
        <b/>
        <u/>
        <sz val="10"/>
        <color theme="1"/>
        <rFont val="Arial"/>
      </rPr>
      <t>Yes/No</t>
    </r>
  </si>
  <si>
    <t>If yes Amount</t>
  </si>
  <si>
    <t>Date</t>
  </si>
  <si>
    <t>Reasons</t>
  </si>
  <si>
    <t>Prepared by</t>
  </si>
  <si>
    <t>Mentor, EC</t>
  </si>
  <si>
    <t>HOD,EC</t>
  </si>
  <si>
    <t>AR, ITNU</t>
  </si>
  <si>
    <t>Director, IT</t>
  </si>
  <si>
    <t>Signature of Receiver</t>
  </si>
  <si>
    <t>Budget Detail:</t>
  </si>
  <si>
    <t>IT     (NU)</t>
  </si>
  <si>
    <t>Dept/ Section: _____________________________</t>
  </si>
  <si>
    <t>KISAN KAWACH</t>
  </si>
  <si>
    <t>Budget Code: ______________________________</t>
  </si>
  <si>
    <t>R1A04B</t>
  </si>
  <si>
    <t>Budget Provision Made: ______________________</t>
  </si>
  <si>
    <t>3,00,000</t>
  </si>
  <si>
    <t>Budget Utilized up to Dt Rs. __________________</t>
  </si>
  <si>
    <t>Expenditure Involved in the Present Bill: _________</t>
  </si>
  <si>
    <t>Balance Avaialble after Deduction of Present Bill</t>
  </si>
  <si>
    <t>2,80,000</t>
  </si>
  <si>
    <t>Signature of Approving Authority : ______________</t>
  </si>
  <si>
    <t>Name of the Approving Authority : ______________</t>
  </si>
  <si>
    <t>List of items to be procured from this Advance</t>
  </si>
  <si>
    <t>Items</t>
  </si>
  <si>
    <t>Qty</t>
  </si>
  <si>
    <t>Unit rate</t>
  </si>
  <si>
    <t>Total</t>
  </si>
  <si>
    <t>Battery Isolator Switch</t>
  </si>
  <si>
    <t>XT90 Male Connector</t>
  </si>
  <si>
    <t>XT90 Female Connector</t>
  </si>
  <si>
    <t>Emergency Push Button Switch</t>
  </si>
  <si>
    <t>8AWG Silicone Wire 2 m</t>
  </si>
  <si>
    <t>10AWG Silicone Wire</t>
  </si>
  <si>
    <t>12AWG Silicone Wire</t>
  </si>
  <si>
    <t>Mechanical Sprokets,Chains,Structure Assembly and Fabrication</t>
  </si>
  <si>
    <t>Tyres 12 Inch + Rim 12 Inch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</si>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</sst>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4"/>
      <color theme="1"/>
      <name val="Arial"/>
    </font>
    <font>
      <b/>
      <sz val="11"/>
      <color theme="1"/>
      <name val="Arial"/>
    </font>
    <font>
      <b/>
      <u/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4"/>
      <color theme="1"/>
      <name val="Arial"/>
    </font>
    <font>
      <u/>
      <sz val="1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b/>
      <u/>
      <sz val="10"/>
      <color theme="1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1" xfId="0" applyFont="1" applyBorder="1"/>
    <xf numFmtId="0" fontId="4" fillId="0" borderId="1" xfId="0" applyFont="1" applyBorder="1"/>
    <xf numFmtId="0" fontId="7" fillId="0" borderId="0" xfId="0" applyFont="1" applyAlignment="1">
      <alignment horizontal="center"/>
    </xf>
    <xf numFmtId="3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right"/>
    </xf>
    <xf numFmtId="0" fontId="8" fillId="0" borderId="0" xfId="0" applyFont="1"/>
    <xf numFmtId="0" fontId="4" fillId="0" borderId="0" xfId="0" applyFont="1" applyAlignment="1">
      <alignment horizontal="center" wrapText="1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 applyAlignment="1">
      <alignment horizontal="right"/>
    </xf>
    <xf numFmtId="0" fontId="4" fillId="0" borderId="5" xfId="0" applyFont="1" applyBorder="1"/>
    <xf numFmtId="0" fontId="10" fillId="0" borderId="1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right"/>
    </xf>
    <xf numFmtId="0" fontId="4" fillId="0" borderId="7" xfId="0" applyFont="1" applyBorder="1"/>
    <xf numFmtId="0" fontId="4" fillId="0" borderId="8" xfId="0" applyFont="1" applyBorder="1"/>
    <xf numFmtId="0" fontId="11" fillId="0" borderId="6" xfId="0" applyFont="1" applyBorder="1"/>
    <xf numFmtId="0" fontId="11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right"/>
    </xf>
    <xf numFmtId="0" fontId="2" fillId="0" borderId="0" xfId="0" applyFont="1"/>
    <xf numFmtId="0" fontId="0" fillId="0" borderId="0" xfId="0"/>
    <xf numFmtId="0" fontId="3" fillId="0" borderId="0" xfId="0" applyFont="1" applyAlignment="1">
      <alignment horizontal="center" vertical="top"/>
    </xf>
    <xf numFmtId="14" fontId="5" fillId="0" borderId="1" xfId="0" applyNumberFormat="1" applyFont="1" applyBorder="1" applyAlignment="1">
      <alignment horizontal="right"/>
    </xf>
    <xf numFmtId="0" fontId="6" fillId="0" borderId="1" xfId="0" applyFont="1" applyBorder="1"/>
    <xf numFmtId="0" fontId="5" fillId="0" borderId="1" xfId="0" applyFont="1" applyBorder="1"/>
    <xf numFmtId="0" fontId="4" fillId="0" borderId="1" xfId="0" applyFont="1" applyBorder="1"/>
    <xf numFmtId="14" fontId="5" fillId="0" borderId="1" xfId="0" applyNumberFormat="1" applyFont="1" applyBorder="1"/>
    <xf numFmtId="0" fontId="6" fillId="0" borderId="6" xfId="0" applyFont="1" applyBorder="1"/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1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276225</xdr:colOff>
      <xdr:row>0</xdr:row>
      <xdr:rowOff>47625</xdr:rowOff>
    </xdr:from>
    <xdr:ext cx="2505075" cy="8667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001"/>
  <sheetViews>
    <sheetView tabSelected="1" workbookViewId="0"/>
  </sheetViews>
  <sheetFormatPr defaultColWidth="12.5703125" defaultRowHeight="15" customHeight="1" x14ac:dyDescent="0.2"/>
  <cols>
    <col min="1" max="1" width="5.140625" customWidth="1"/>
    <col min="2" max="2" width="12.5703125" customWidth="1"/>
    <col min="3" max="3" width="14.140625" customWidth="1"/>
    <col min="4" max="4" width="12.5703125" customWidth="1"/>
    <col min="5" max="5" width="17.140625" customWidth="1"/>
    <col min="6" max="6" width="12.5703125" customWidth="1"/>
    <col min="7" max="7" width="10" customWidth="1"/>
    <col min="8" max="8" width="12.42578125" customWidth="1"/>
    <col min="9" max="9" width="5.7109375" customWidth="1"/>
  </cols>
  <sheetData>
    <row r="1" spans="1:9" ht="15.75" customHeight="1" x14ac:dyDescent="0.25">
      <c r="A1" s="1" t="b">
        <v>1</v>
      </c>
      <c r="B1" s="27" t="s">
        <v>0</v>
      </c>
      <c r="C1" s="28"/>
      <c r="D1" s="28"/>
    </row>
    <row r="2" spans="1:9" ht="15.75" customHeight="1" x14ac:dyDescent="0.25">
      <c r="A2" s="1" t="b">
        <v>1</v>
      </c>
      <c r="B2" s="27" t="s">
        <v>1</v>
      </c>
      <c r="C2" s="28"/>
      <c r="D2" s="28"/>
    </row>
    <row r="3" spans="1:9" ht="20.25" customHeight="1" x14ac:dyDescent="0.25">
      <c r="A3" s="1"/>
      <c r="B3" s="27" t="s">
        <v>2</v>
      </c>
      <c r="C3" s="28"/>
      <c r="D3" s="28"/>
    </row>
    <row r="4" spans="1:9" ht="21" customHeight="1" x14ac:dyDescent="0.25">
      <c r="A4" s="1"/>
      <c r="B4" s="27" t="s">
        <v>3</v>
      </c>
      <c r="C4" s="28"/>
      <c r="D4" s="28"/>
    </row>
    <row r="5" spans="1:9" ht="20.25" customHeight="1" x14ac:dyDescent="0.25">
      <c r="A5" s="1"/>
      <c r="B5" s="27" t="s">
        <v>4</v>
      </c>
      <c r="C5" s="28"/>
      <c r="D5" s="29" t="s">
        <v>5</v>
      </c>
      <c r="E5" s="28"/>
      <c r="F5" s="28"/>
    </row>
    <row r="6" spans="1:9" ht="15.75" customHeight="1" x14ac:dyDescent="0.2">
      <c r="G6" s="2" t="s">
        <v>6</v>
      </c>
      <c r="H6" s="30">
        <f ca="1">TODAY()</f>
        <v>46302</v>
      </c>
      <c r="I6" s="31"/>
    </row>
    <row r="7" spans="1:9" ht="15.75" customHeight="1" x14ac:dyDescent="0.2"/>
    <row r="8" spans="1:9" ht="15.75" customHeight="1" x14ac:dyDescent="0.2">
      <c r="A8" s="3" t="s">
        <v>7</v>
      </c>
      <c r="C8" s="4"/>
      <c r="D8" s="5"/>
      <c r="E8" s="5"/>
      <c r="F8" s="5"/>
      <c r="G8" s="3" t="s">
        <v>8</v>
      </c>
      <c r="H8" s="6"/>
      <c r="I8" s="3" t="s">
        <v>9</v>
      </c>
    </row>
    <row r="9" spans="1:9" ht="22.5" customHeight="1" x14ac:dyDescent="0.2">
      <c r="A9" s="3" t="s">
        <v>10</v>
      </c>
      <c r="B9" s="32" t="s">
        <v>11</v>
      </c>
      <c r="C9" s="31"/>
      <c r="D9" s="31"/>
      <c r="E9" s="31"/>
      <c r="F9" s="3" t="s">
        <v>12</v>
      </c>
      <c r="G9" s="7">
        <v>20000</v>
      </c>
      <c r="H9" s="8"/>
      <c r="I9" s="8"/>
    </row>
    <row r="10" spans="1:9" ht="15.75" customHeight="1" x14ac:dyDescent="0.2">
      <c r="A10" s="9" t="s">
        <v>13</v>
      </c>
      <c r="B10" s="4" t="s">
        <v>14</v>
      </c>
      <c r="C10" s="5"/>
      <c r="D10" s="5"/>
      <c r="E10" s="5"/>
      <c r="F10" s="5"/>
      <c r="G10" s="5"/>
      <c r="H10" s="10"/>
      <c r="I10" s="9" t="s">
        <v>15</v>
      </c>
    </row>
    <row r="11" spans="1:9" ht="15.75" customHeight="1" x14ac:dyDescent="0.2">
      <c r="A11" s="3" t="s">
        <v>16</v>
      </c>
      <c r="C11" s="32" t="s">
        <v>17</v>
      </c>
      <c r="D11" s="31"/>
      <c r="E11" s="31"/>
      <c r="F11" s="31"/>
      <c r="G11" s="31"/>
      <c r="H11" s="31"/>
      <c r="I11" s="31"/>
    </row>
    <row r="12" spans="1:9" ht="15.75" customHeight="1" x14ac:dyDescent="0.2">
      <c r="A12" s="33"/>
      <c r="B12" s="31"/>
      <c r="C12" s="31"/>
      <c r="D12" s="31"/>
      <c r="E12" s="31"/>
      <c r="F12" s="31"/>
      <c r="G12" s="31"/>
      <c r="H12" s="31"/>
      <c r="I12" s="31"/>
    </row>
    <row r="13" spans="1:9" ht="15.75" customHeight="1" x14ac:dyDescent="0.2">
      <c r="A13" s="3" t="s">
        <v>18</v>
      </c>
      <c r="G13" s="34">
        <f ca="1">DATE(YEAR(H6),MONTH(H6),DAY(H6)+30)</f>
        <v>46332</v>
      </c>
      <c r="H13" s="31"/>
      <c r="I13" s="31"/>
    </row>
    <row r="14" spans="1:9" ht="15.75" customHeight="1" x14ac:dyDescent="0.2">
      <c r="A14" s="3" t="s">
        <v>19</v>
      </c>
    </row>
    <row r="15" spans="1:9" ht="15.75" customHeight="1" x14ac:dyDescent="0.2">
      <c r="A15" s="3" t="s">
        <v>20</v>
      </c>
      <c r="C15" s="5"/>
      <c r="D15" s="5"/>
      <c r="E15" s="3" t="s">
        <v>21</v>
      </c>
      <c r="F15" s="5"/>
      <c r="G15" s="3" t="s">
        <v>22</v>
      </c>
      <c r="H15" s="5"/>
      <c r="I15" s="5"/>
    </row>
    <row r="16" spans="1:9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ht="15.75" customHeight="1" x14ac:dyDescent="0.2"/>
    <row r="18" spans="1:9" ht="15.75" customHeight="1" x14ac:dyDescent="0.2"/>
    <row r="19" spans="1:9" ht="26.25" customHeight="1" x14ac:dyDescent="0.2">
      <c r="A19" s="3" t="s">
        <v>23</v>
      </c>
      <c r="C19" s="3" t="s">
        <v>24</v>
      </c>
      <c r="D19" s="11" t="s">
        <v>25</v>
      </c>
      <c r="E19" s="3" t="s">
        <v>26</v>
      </c>
      <c r="F19" s="3" t="s">
        <v>27</v>
      </c>
      <c r="H19" s="12" t="s">
        <v>28</v>
      </c>
      <c r="I19" s="12"/>
    </row>
    <row r="20" spans="1:9" ht="54.75" customHeight="1" x14ac:dyDescent="0.2"/>
    <row r="21" spans="1:9" ht="15.75" customHeight="1" x14ac:dyDescent="0.25">
      <c r="C21" s="13" t="s">
        <v>29</v>
      </c>
      <c r="D21" s="14"/>
      <c r="E21" s="15" t="s">
        <v>30</v>
      </c>
    </row>
    <row r="22" spans="1:9" ht="15.75" customHeight="1" x14ac:dyDescent="0.2">
      <c r="C22" s="16" t="s">
        <v>31</v>
      </c>
      <c r="D22" s="33" t="s">
        <v>32</v>
      </c>
      <c r="E22" s="35"/>
    </row>
    <row r="23" spans="1:9" ht="15.75" customHeight="1" x14ac:dyDescent="0.2">
      <c r="C23" s="16" t="s">
        <v>33</v>
      </c>
      <c r="D23" s="17" t="s">
        <v>34</v>
      </c>
      <c r="E23" s="18"/>
    </row>
    <row r="24" spans="1:9" ht="15.75" customHeight="1" x14ac:dyDescent="0.2">
      <c r="C24" s="16" t="s">
        <v>35</v>
      </c>
      <c r="E24" s="19" t="s">
        <v>36</v>
      </c>
    </row>
    <row r="25" spans="1:9" ht="15.75" customHeight="1" x14ac:dyDescent="0.2">
      <c r="C25" s="16" t="s">
        <v>37</v>
      </c>
      <c r="E25" s="20">
        <v>0</v>
      </c>
    </row>
    <row r="26" spans="1:9" ht="15.75" customHeight="1" x14ac:dyDescent="0.2">
      <c r="C26" s="16" t="s">
        <v>38</v>
      </c>
      <c r="E26" s="20">
        <v>20000</v>
      </c>
    </row>
    <row r="27" spans="1:9" ht="15.75" customHeight="1" x14ac:dyDescent="0.2">
      <c r="C27" s="21" t="s">
        <v>39</v>
      </c>
      <c r="D27" s="5"/>
      <c r="E27" s="19" t="s">
        <v>40</v>
      </c>
    </row>
    <row r="28" spans="1:9" ht="15.75" customHeight="1" x14ac:dyDescent="0.2">
      <c r="C28" s="16" t="s">
        <v>41</v>
      </c>
      <c r="E28" s="20"/>
    </row>
    <row r="29" spans="1:9" ht="15.75" customHeight="1" x14ac:dyDescent="0.25">
      <c r="C29" s="21" t="s">
        <v>42</v>
      </c>
      <c r="D29" s="5"/>
      <c r="E29" s="22" t="s">
        <v>25</v>
      </c>
    </row>
    <row r="30" spans="1:9" ht="15.75" customHeight="1" x14ac:dyDescent="0.2"/>
    <row r="31" spans="1:9" ht="48" customHeight="1" x14ac:dyDescent="0.2"/>
    <row r="32" spans="1:9" ht="23.25" customHeight="1" x14ac:dyDescent="0.2">
      <c r="A32" s="36" t="s">
        <v>43</v>
      </c>
      <c r="B32" s="28"/>
      <c r="C32" s="28"/>
      <c r="D32" s="28"/>
      <c r="E32" s="28"/>
      <c r="F32" s="28"/>
      <c r="G32" s="28"/>
      <c r="H32" s="28"/>
      <c r="I32" s="28"/>
    </row>
    <row r="33" spans="2:8" ht="15.75" customHeight="1" x14ac:dyDescent="0.25">
      <c r="B33" s="37" t="s">
        <v>44</v>
      </c>
      <c r="C33" s="38"/>
      <c r="D33" s="38"/>
      <c r="E33" s="39"/>
      <c r="F33" s="23" t="s">
        <v>45</v>
      </c>
      <c r="G33" s="23" t="s">
        <v>46</v>
      </c>
      <c r="H33" s="23" t="s">
        <v>47</v>
      </c>
    </row>
    <row r="34" spans="2:8" ht="15.75" customHeight="1" x14ac:dyDescent="0.2">
      <c r="B34" s="40" t="s">
        <v>48</v>
      </c>
      <c r="C34" s="38"/>
      <c r="D34" s="38"/>
      <c r="E34" s="39"/>
      <c r="F34" s="24">
        <v>1</v>
      </c>
      <c r="G34" s="24">
        <v>900</v>
      </c>
      <c r="H34" s="24">
        <v>900</v>
      </c>
    </row>
    <row r="35" spans="2:8" ht="15.75" customHeight="1" x14ac:dyDescent="0.2">
      <c r="B35" s="40" t="s">
        <v>49</v>
      </c>
      <c r="C35" s="38"/>
      <c r="D35" s="38"/>
      <c r="E35" s="39"/>
      <c r="F35" s="24">
        <v>5</v>
      </c>
      <c r="G35" s="24">
        <v>100</v>
      </c>
      <c r="H35" s="24">
        <v>500</v>
      </c>
    </row>
    <row r="36" spans="2:8" ht="15.75" customHeight="1" x14ac:dyDescent="0.2">
      <c r="B36" s="40" t="s">
        <v>50</v>
      </c>
      <c r="C36" s="38"/>
      <c r="D36" s="38"/>
      <c r="E36" s="39"/>
      <c r="F36" s="24">
        <v>5</v>
      </c>
      <c r="G36" s="24">
        <v>100</v>
      </c>
      <c r="H36" s="24">
        <v>500</v>
      </c>
    </row>
    <row r="37" spans="2:8" ht="15.75" customHeight="1" x14ac:dyDescent="0.2">
      <c r="B37" s="40" t="s">
        <v>51</v>
      </c>
      <c r="C37" s="38"/>
      <c r="D37" s="38"/>
      <c r="E37" s="39"/>
      <c r="F37" s="24">
        <v>1</v>
      </c>
      <c r="G37" s="24">
        <v>300</v>
      </c>
      <c r="H37" s="24">
        <v>300</v>
      </c>
    </row>
    <row r="38" spans="2:8" ht="15.75" customHeight="1" x14ac:dyDescent="0.2">
      <c r="B38" s="40" t="s">
        <v>52</v>
      </c>
      <c r="C38" s="38"/>
      <c r="D38" s="38"/>
      <c r="E38" s="39"/>
      <c r="F38" s="24">
        <v>2</v>
      </c>
      <c r="G38" s="25">
        <v>300</v>
      </c>
      <c r="H38" s="24">
        <v>600</v>
      </c>
    </row>
    <row r="39" spans="2:8" ht="15.75" customHeight="1" x14ac:dyDescent="0.2">
      <c r="B39" s="40" t="s">
        <v>53</v>
      </c>
      <c r="C39" s="38"/>
      <c r="D39" s="38"/>
      <c r="E39" s="39"/>
      <c r="F39" s="24">
        <v>2</v>
      </c>
      <c r="G39" s="25">
        <v>200</v>
      </c>
      <c r="H39" s="24">
        <v>400</v>
      </c>
    </row>
    <row r="40" spans="2:8" ht="15.75" customHeight="1" x14ac:dyDescent="0.2">
      <c r="B40" s="40" t="s">
        <v>54</v>
      </c>
      <c r="C40" s="38"/>
      <c r="D40" s="38"/>
      <c r="E40" s="39"/>
      <c r="F40" s="24">
        <v>2</v>
      </c>
      <c r="G40" s="25">
        <v>100</v>
      </c>
      <c r="H40" s="24">
        <v>200</v>
      </c>
    </row>
    <row r="41" spans="2:8" ht="15.75" customHeight="1" x14ac:dyDescent="0.2">
      <c r="B41" s="40" t="s">
        <v>54</v>
      </c>
      <c r="C41" s="38"/>
      <c r="D41" s="38"/>
      <c r="E41" s="39"/>
      <c r="F41" s="24">
        <v>2</v>
      </c>
      <c r="G41" s="25">
        <v>100</v>
      </c>
      <c r="H41" s="24">
        <v>200</v>
      </c>
    </row>
    <row r="42" spans="2:8" ht="15.75" customHeight="1" x14ac:dyDescent="0.2">
      <c r="B42" s="40" t="s">
        <v>55</v>
      </c>
      <c r="C42" s="38"/>
      <c r="D42" s="38"/>
      <c r="E42" s="39"/>
      <c r="H42" s="24">
        <v>10000</v>
      </c>
    </row>
    <row r="43" spans="2:8" ht="15.75" customHeight="1" x14ac:dyDescent="0.2">
      <c r="B43" s="40" t="s">
        <v>56</v>
      </c>
      <c r="C43" s="38"/>
      <c r="D43" s="38"/>
      <c r="E43" s="39"/>
      <c r="F43" s="24">
        <v>2</v>
      </c>
      <c r="G43" s="26">
        <v>3200</v>
      </c>
      <c r="H43" s="24">
        <v>6400</v>
      </c>
    </row>
    <row r="44" spans="2:8" ht="15.75" customHeight="1" x14ac:dyDescent="0.25">
      <c r="B44" s="41" t="s">
        <v>57</v>
      </c>
      <c r="C44" s="38"/>
      <c r="D44" s="38"/>
      <c r="E44" s="38"/>
      <c r="F44" s="38"/>
      <c r="G44" s="39"/>
      <c r="H44" s="24">
        <f>SUM(H33:H43)</f>
        <v>20000</v>
      </c>
    </row>
    <row r="45" spans="2:8" ht="15.75" customHeight="1" x14ac:dyDescent="0.2"/>
    <row r="46" spans="2:8" ht="15.75" customHeight="1" x14ac:dyDescent="0.2"/>
    <row r="47" spans="2:8" ht="15.75" customHeight="1" x14ac:dyDescent="0.2"/>
    <row r="48" spans="2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5">
    <mergeCell ref="B43:E43"/>
    <mergeCell ref="B44:G44"/>
    <mergeCell ref="B34:E34"/>
    <mergeCell ref="B35:E35"/>
    <mergeCell ref="B36:E36"/>
    <mergeCell ref="B37:E37"/>
    <mergeCell ref="B38:E38"/>
    <mergeCell ref="B39:E39"/>
    <mergeCell ref="B40:E40"/>
    <mergeCell ref="D22:E22"/>
    <mergeCell ref="A32:I32"/>
    <mergeCell ref="B33:E33"/>
    <mergeCell ref="B41:E41"/>
    <mergeCell ref="B42:E42"/>
    <mergeCell ref="H6:I6"/>
    <mergeCell ref="B9:E9"/>
    <mergeCell ref="C11:I11"/>
    <mergeCell ref="A12:I12"/>
    <mergeCell ref="G13:I13"/>
    <mergeCell ref="B1:D1"/>
    <mergeCell ref="B2:D2"/>
    <mergeCell ref="B3:D3"/>
    <mergeCell ref="B4:D4"/>
    <mergeCell ref="B5:C5"/>
    <mergeCell ref="D5:F5"/>
  </mergeCells>
  <printOptions horizontalCentered="1"/>
  <pageMargins left="0.7" right="0.7" top="0.75" bottom="0.75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Harshil Kakkad</dc:creator>
  <cp:lastModifiedBy>Madhav Maheshwari</cp:lastModifiedBy>
  <dcterms:created xsi:type="dcterms:W3CDTF">2025-02-13T04:54:27Z</dcterms:created>
  <dcterms:modified xsi:type="dcterms:W3CDTF">2026-10-07T02:40:09Z</dcterms:modified>
</cp:coreProperties>
</file>